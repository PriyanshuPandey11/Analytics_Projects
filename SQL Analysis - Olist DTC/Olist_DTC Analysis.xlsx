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nshupandey/Desktop/PP/Portfolio/Projects/Analyst_Projects/(1) Olist DTC/"/>
    </mc:Choice>
  </mc:AlternateContent>
  <xr:revisionPtr revIDLastSave="0" documentId="13_ncr:1_{AAA2D8D6-2302-0847-BFEB-618E8195D03A}" xr6:coauthVersionLast="47" xr6:coauthVersionMax="47" xr10:uidLastSave="{00000000-0000-0000-0000-000000000000}"/>
  <bookViews>
    <workbookView xWindow="0" yWindow="780" windowWidth="34200" windowHeight="21460" xr2:uid="{29872899-BDF5-3C4E-B9B3-2F953794FB28}"/>
  </bookViews>
  <sheets>
    <sheet name="Raw_Summary" sheetId="1" r:id="rId1"/>
    <sheet name="Calculations" sheetId="3" r:id="rId2"/>
    <sheet name="MIS_Dashboard" sheetId="4" r:id="rId3"/>
  </sheets>
  <definedNames>
    <definedName name="ExternalData_1" localSheetId="0" hidden="1">Raw_Summary!$E$3:$E$25</definedName>
    <definedName name="ExternalData_2" localSheetId="0" hidden="1">Raw_Summary!$F$3:$H$13</definedName>
    <definedName name="ExternalData_3" localSheetId="0" hidden="1">Raw_Summary!$B$3:$D$25</definedName>
    <definedName name="ExternalData_4" localSheetId="0" hidden="1">Raw_Summary!$O$3:$Q$6</definedName>
    <definedName name="ExternalData_5" localSheetId="0" hidden="1">Raw_Summary!$S$3:$U$30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I4" i="4"/>
  <c r="B7" i="3"/>
  <c r="B6" i="3"/>
  <c r="K4" i="4" s="1"/>
  <c r="B3" i="3"/>
  <c r="E4" i="4" s="1"/>
  <c r="B2" i="3"/>
  <c r="B4" i="3" l="1"/>
  <c r="G4" i="4" s="1"/>
  <c r="C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B46709-9CAE-EB41-B4AD-C9FFAA5E0FF8}" keepAlive="1" name="Query - Query_1" description="Connection to the 'Query_1' query in the workbook." type="5" refreshedVersion="8" background="1" saveData="1">
    <dbPr connection="Provider=Microsoft.Mashup.OleDb.1;Data Source=$Workbook$;Location=Query_1;Extended Properties=&quot;&quot;" command="SELECT * FROM [Query_1]"/>
  </connection>
  <connection id="2" xr16:uid="{E403B0FC-55AD-534B-B84E-7DB0318A4B59}" keepAlive="1" name="Query - Query_1 (2)" description="Connection to the 'Query_1 (2)' query in the workbook." type="5" refreshedVersion="8" background="1" saveData="1">
    <dbPr connection="Provider=Microsoft.Mashup.OleDb.1;Data Source=$Workbook$;Location=&quot;Query_1 (2)&quot;;Extended Properties=&quot;&quot;" command="SELECT * FROM [Query_1 (2)]"/>
  </connection>
  <connection id="3" xr16:uid="{9E5F6B71-9214-FD4A-BC8E-FF6717C55DF2}" keepAlive="1" name="Query - Query_2" description="Connection to the 'Query_2' query in the workbook." type="5" refreshedVersion="8" background="1" saveData="1">
    <dbPr connection="Provider=Microsoft.Mashup.OleDb.1;Data Source=$Workbook$;Location=Query_2;Extended Properties=&quot;&quot;" command="SELECT * FROM [Query_2]"/>
  </connection>
  <connection id="4" xr16:uid="{87078A4C-B592-7742-95D1-33D6C353B7C5}" keepAlive="1" name="Query - Query_3" description="Connection to the 'Query_3' query in the workbook." type="5" refreshedVersion="8" background="1" saveData="1">
    <dbPr connection="Provider=Microsoft.Mashup.OleDb.1;Data Source=$Workbook$;Location=Query_3;Extended Properties=&quot;&quot;" command="SELECT * FROM [Query_3]"/>
  </connection>
  <connection id="5" xr16:uid="{3F982F41-26E3-D54A-8B00-269418CDE3F7}" keepAlive="1" name="Query - Query_4" description="Connection to the 'Query_4' query in the workbook." type="5" refreshedVersion="8" background="1" saveData="1">
    <dbPr connection="Provider=Microsoft.Mashup.OleDb.1;Data Source=$Workbook$;Location=Query_4;Extended Properties=&quot;&quot;" command="SELECT * FROM [Query_4]"/>
  </connection>
  <connection id="6" xr16:uid="{80310B9A-F872-DE4D-979C-B4945FAC906A}" keepAlive="1" name="Query - Query_5" description="Connection to the 'Query_5' query in the workbook." type="5" refreshedVersion="8" background="1" saveData="1">
    <dbPr connection="Provider=Microsoft.Mashup.OleDb.1;Data Source=$Workbook$;Location=Query_5;Extended Properties=&quot;&quot;" command="SELECT * FROM [Query_5]"/>
  </connection>
</connections>
</file>

<file path=xl/sharedStrings.xml><?xml version="1.0" encoding="utf-8"?>
<sst xmlns="http://schemas.openxmlformats.org/spreadsheetml/2006/main" count="124" uniqueCount="94">
  <si>
    <t>16-10</t>
  </si>
  <si>
    <t>16-12</t>
  </si>
  <si>
    <t>17-01</t>
  </si>
  <si>
    <t>17-02</t>
  </si>
  <si>
    <t>17-03</t>
  </si>
  <si>
    <t>17-04</t>
  </si>
  <si>
    <t>17-05</t>
  </si>
  <si>
    <t>17-06</t>
  </si>
  <si>
    <t>17-07</t>
  </si>
  <si>
    <t>17-08</t>
  </si>
  <si>
    <t>17-09</t>
  </si>
  <si>
    <t>17-10</t>
  </si>
  <si>
    <t>17-11</t>
  </si>
  <si>
    <t>17-12</t>
  </si>
  <si>
    <t>18-01</t>
  </si>
  <si>
    <t>18-02</t>
  </si>
  <si>
    <t>18-03</t>
  </si>
  <si>
    <t>18-04</t>
  </si>
  <si>
    <t>18-05</t>
  </si>
  <si>
    <t>18-06</t>
  </si>
  <si>
    <t>18-07</t>
  </si>
  <si>
    <t>18-08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</si>
  <si>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</si>
  <si>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</si>
  <si>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</si>
  <si>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</si>
  <si>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</si>
  <si>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</si>
  <si>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utilidades_domesticas</t>
  </si>
  <si>
    <t>cool_stuff</t>
  </si>
  <si>
    <t>automotivo</t>
  </si>
  <si>
    <t>brinquedos</t>
  </si>
  <si>
    <t>16-09</t>
  </si>
  <si>
    <t>18-09</t>
  </si>
  <si>
    <t>18-10</t>
  </si>
  <si>
    <t xml:space="preserve">Metrics </t>
  </si>
  <si>
    <t>Value</t>
  </si>
  <si>
    <t>Total Revenue</t>
  </si>
  <si>
    <t>Total Orders</t>
  </si>
  <si>
    <t>Average Order Value</t>
  </si>
  <si>
    <t xml:space="preserve">Gross Margin </t>
  </si>
  <si>
    <t>Top Category by Revenue</t>
  </si>
  <si>
    <t>35% is COGS (assumption)</t>
  </si>
  <si>
    <t>Cancellation Rate</t>
  </si>
  <si>
    <t>Notes</t>
  </si>
  <si>
    <t>High (Top 20%)</t>
  </si>
  <si>
    <t>Mid (Next 30%)</t>
  </si>
  <si>
    <t>Low (Bottom 50%)</t>
  </si>
  <si>
    <t>AP</t>
  </si>
  <si>
    <t>RR</t>
  </si>
  <si>
    <t>AM</t>
  </si>
  <si>
    <t>AC</t>
  </si>
  <si>
    <t>RO</t>
  </si>
  <si>
    <t>PA</t>
  </si>
  <si>
    <t>PB</t>
  </si>
  <si>
    <t>AL</t>
  </si>
  <si>
    <t>RN</t>
  </si>
  <si>
    <t>MT</t>
  </si>
  <si>
    <t>CE</t>
  </si>
  <si>
    <t>PE</t>
  </si>
  <si>
    <t>SE</t>
  </si>
  <si>
    <t>MA</t>
  </si>
  <si>
    <t>PI</t>
  </si>
  <si>
    <t>BA</t>
  </si>
  <si>
    <t>TO</t>
  </si>
  <si>
    <t>RS</t>
  </si>
  <si>
    <t>GO</t>
  </si>
  <si>
    <t>RJ</t>
  </si>
  <si>
    <t>MS</t>
  </si>
  <si>
    <t>SC</t>
  </si>
  <si>
    <t>ES</t>
  </si>
  <si>
    <t>PR</t>
  </si>
  <si>
    <t>MG</t>
  </si>
  <si>
    <t>DF</t>
  </si>
  <si>
    <t>SP</t>
  </si>
  <si>
    <t>Order_Month</t>
  </si>
  <si>
    <t>Total_Orders</t>
  </si>
  <si>
    <t>Total_Revenue</t>
  </si>
  <si>
    <t>Category</t>
  </si>
  <si>
    <t>Item_Sold</t>
  </si>
  <si>
    <t>Revenue</t>
  </si>
  <si>
    <t>Canceled_Orders</t>
  </si>
  <si>
    <t>Canceled_Rate</t>
  </si>
  <si>
    <t>Segment</t>
  </si>
  <si>
    <t>Customer_Count</t>
  </si>
  <si>
    <t>Avg_Spend</t>
  </si>
  <si>
    <t>State</t>
  </si>
  <si>
    <t>Customer</t>
  </si>
  <si>
    <t>Avg_Delivery</t>
  </si>
  <si>
    <t>Monthly Revenue Trend</t>
  </si>
  <si>
    <t>Top 10 Product Category by Revenue</t>
  </si>
  <si>
    <t>Cancellation Rate by Month</t>
  </si>
  <si>
    <t>Customer Segmentation by Spend</t>
  </si>
  <si>
    <t>Average Delivery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</si>
</sst>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"/>
      <color theme="2" tint="-0.749992370372631"/>
      <name val="ADLaM Display Regular"/>
    </font>
    <font>
      <b/>
      <sz val="18"/>
      <color theme="0"/>
      <name val="ADLaM Display Regular"/>
    </font>
    <font>
      <sz val="18"/>
      <color theme="0"/>
      <name val="ADLaM Display Regula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2" fontId="0" fillId="0" borderId="1" xfId="0" applyNumberFormat="1" applyBorder="1"/>
    <xf numFmtId="9" fontId="0" fillId="0" borderId="1" xfId="0" applyNumberFormat="1" applyBorder="1"/>
    <xf numFmtId="0" fontId="1" fillId="2" borderId="1" xfId="0" applyFont="1" applyFill="1" applyBorder="1"/>
    <xf numFmtId="0" fontId="0" fillId="3" borderId="0" xfId="0" applyFill="1"/>
    <xf numFmtId="0" fontId="1" fillId="3" borderId="0" xfId="0" applyFont="1" applyFill="1"/>
    <xf numFmtId="0" fontId="0" fillId="5" borderId="1" xfId="0" applyFill="1" applyBorder="1"/>
    <xf numFmtId="0" fontId="2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3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Product</a:t>
            </a:r>
            <a:r>
              <a:rPr lang="en-GB" baseline="0"/>
              <a:t> Category</a:t>
            </a:r>
          </a:p>
        </c:rich>
      </c:tx>
      <c:layout>
        <c:manualLayout>
          <c:xMode val="edge"/>
          <c:yMode val="edge"/>
          <c:x val="2.136789151356081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Raw_Summary!$F$4:$F$13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utilidades_domesticas</c:v>
                </c:pt>
                <c:pt idx="7">
                  <c:v>cool_stuff</c:v>
                </c:pt>
                <c:pt idx="8">
                  <c:v>automotivo</c:v>
                </c:pt>
                <c:pt idx="9">
                  <c:v>brinquedos</c:v>
                </c:pt>
              </c:strCache>
            </c:strRef>
          </c:cat>
          <c:val>
            <c:numRef>
              <c:f>Raw_Summary!$H$4:$H$13</c:f>
              <c:numCache>
                <c:formatCode>General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7-2A48-AF83-ADACA1251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097024"/>
        <c:axId val="1003289472"/>
      </c:barChart>
      <c:catAx>
        <c:axId val="10250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89472"/>
        <c:crosses val="autoZero"/>
        <c:auto val="1"/>
        <c:lblAlgn val="ctr"/>
        <c:lblOffset val="100"/>
        <c:noMultiLvlLbl val="0"/>
      </c:catAx>
      <c:valAx>
        <c:axId val="100328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9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Cancellation Rate</a:t>
            </a:r>
            <a:endParaRPr lang="en-GB"/>
          </a:p>
        </c:rich>
      </c:tx>
      <c:layout>
        <c:manualLayout>
          <c:xMode val="edge"/>
          <c:yMode val="edge"/>
          <c:x val="2.9680446194225735E-2"/>
          <c:y val="3.6444630228094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Raw_Summary!$J$4:$J$28</c:f>
              <c:strCache>
                <c:ptCount val="25"/>
                <c:pt idx="0">
                  <c:v>16-09</c:v>
                </c:pt>
                <c:pt idx="1">
                  <c:v>16-10</c:v>
                </c:pt>
                <c:pt idx="2">
                  <c:v>16-12</c:v>
                </c:pt>
                <c:pt idx="3">
                  <c:v>17-01</c:v>
                </c:pt>
                <c:pt idx="4">
                  <c:v>17-02</c:v>
                </c:pt>
                <c:pt idx="5">
                  <c:v>17-03</c:v>
                </c:pt>
                <c:pt idx="6">
                  <c:v>17-04</c:v>
                </c:pt>
                <c:pt idx="7">
                  <c:v>17-05</c:v>
                </c:pt>
                <c:pt idx="8">
                  <c:v>17-06</c:v>
                </c:pt>
                <c:pt idx="9">
                  <c:v>17-07</c:v>
                </c:pt>
                <c:pt idx="10">
                  <c:v>17-08</c:v>
                </c:pt>
                <c:pt idx="11">
                  <c:v>17-09</c:v>
                </c:pt>
                <c:pt idx="12">
                  <c:v>17-10</c:v>
                </c:pt>
                <c:pt idx="13">
                  <c:v>17-11</c:v>
                </c:pt>
                <c:pt idx="14">
                  <c:v>17-12</c:v>
                </c:pt>
                <c:pt idx="15">
                  <c:v>18-01</c:v>
                </c:pt>
                <c:pt idx="16">
                  <c:v>18-02</c:v>
                </c:pt>
                <c:pt idx="17">
                  <c:v>18-03</c:v>
                </c:pt>
                <c:pt idx="18">
                  <c:v>18-04</c:v>
                </c:pt>
                <c:pt idx="19">
                  <c:v>18-05</c:v>
                </c:pt>
                <c:pt idx="20">
                  <c:v>18-06</c:v>
                </c:pt>
                <c:pt idx="21">
                  <c:v>18-07</c:v>
                </c:pt>
                <c:pt idx="22">
                  <c:v>18-08</c:v>
                </c:pt>
                <c:pt idx="23">
                  <c:v>18-09</c:v>
                </c:pt>
                <c:pt idx="24">
                  <c:v>18-10</c:v>
                </c:pt>
              </c:strCache>
            </c:strRef>
          </c:cat>
          <c:val>
            <c:numRef>
              <c:f>Raw_Summary!$L$4:$L$28</c:f>
              <c:numCache>
                <c:formatCode>General</c:formatCode>
                <c:ptCount val="25"/>
                <c:pt idx="0">
                  <c:v>2</c:v>
                </c:pt>
                <c:pt idx="1">
                  <c:v>24</c:v>
                </c:pt>
                <c:pt idx="2">
                  <c:v>0</c:v>
                </c:pt>
                <c:pt idx="3">
                  <c:v>3</c:v>
                </c:pt>
                <c:pt idx="4">
                  <c:v>17</c:v>
                </c:pt>
                <c:pt idx="5">
                  <c:v>33</c:v>
                </c:pt>
                <c:pt idx="6">
                  <c:v>18</c:v>
                </c:pt>
                <c:pt idx="7">
                  <c:v>29</c:v>
                </c:pt>
                <c:pt idx="8">
                  <c:v>16</c:v>
                </c:pt>
                <c:pt idx="9">
                  <c:v>28</c:v>
                </c:pt>
                <c:pt idx="10">
                  <c:v>27</c:v>
                </c:pt>
                <c:pt idx="11">
                  <c:v>20</c:v>
                </c:pt>
                <c:pt idx="12">
                  <c:v>26</c:v>
                </c:pt>
                <c:pt idx="13">
                  <c:v>37</c:v>
                </c:pt>
                <c:pt idx="14">
                  <c:v>11</c:v>
                </c:pt>
                <c:pt idx="15">
                  <c:v>34</c:v>
                </c:pt>
                <c:pt idx="16">
                  <c:v>73</c:v>
                </c:pt>
                <c:pt idx="17">
                  <c:v>26</c:v>
                </c:pt>
                <c:pt idx="18">
                  <c:v>15</c:v>
                </c:pt>
                <c:pt idx="19">
                  <c:v>24</c:v>
                </c:pt>
                <c:pt idx="20">
                  <c:v>18</c:v>
                </c:pt>
                <c:pt idx="21">
                  <c:v>41</c:v>
                </c:pt>
                <c:pt idx="22">
                  <c:v>84</c:v>
                </c:pt>
                <c:pt idx="23">
                  <c:v>15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E-9A4D-9225-194750B7D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922880"/>
        <c:axId val="938989696"/>
      </c:lineChart>
      <c:catAx>
        <c:axId val="103192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89696"/>
        <c:crosses val="autoZero"/>
        <c:auto val="1"/>
        <c:lblAlgn val="ctr"/>
        <c:lblOffset val="100"/>
        <c:noMultiLvlLbl val="0"/>
      </c:catAx>
      <c:valAx>
        <c:axId val="93898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2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Revenue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Raw_Summary!$B$4:$B$25</c:f>
              <c:strCache>
                <c:ptCount val="22"/>
                <c:pt idx="0">
                  <c:v>16-10</c:v>
                </c:pt>
                <c:pt idx="1">
                  <c:v>16-12</c:v>
                </c:pt>
                <c:pt idx="2">
                  <c:v>17-01</c:v>
                </c:pt>
                <c:pt idx="3">
                  <c:v>17-02</c:v>
                </c:pt>
                <c:pt idx="4">
                  <c:v>17-03</c:v>
                </c:pt>
                <c:pt idx="5">
                  <c:v>17-04</c:v>
                </c:pt>
                <c:pt idx="6">
                  <c:v>17-05</c:v>
                </c:pt>
                <c:pt idx="7">
                  <c:v>17-06</c:v>
                </c:pt>
                <c:pt idx="8">
                  <c:v>17-07</c:v>
                </c:pt>
                <c:pt idx="9">
                  <c:v>17-08</c:v>
                </c:pt>
                <c:pt idx="10">
                  <c:v>17-09</c:v>
                </c:pt>
                <c:pt idx="11">
                  <c:v>17-10</c:v>
                </c:pt>
                <c:pt idx="12">
                  <c:v>17-11</c:v>
                </c:pt>
                <c:pt idx="13">
                  <c:v>17-12</c:v>
                </c:pt>
                <c:pt idx="14">
                  <c:v>18-01</c:v>
                </c:pt>
                <c:pt idx="15">
                  <c:v>18-02</c:v>
                </c:pt>
                <c:pt idx="16">
                  <c:v>18-03</c:v>
                </c:pt>
                <c:pt idx="17">
                  <c:v>18-04</c:v>
                </c:pt>
                <c:pt idx="18">
                  <c:v>18-05</c:v>
                </c:pt>
                <c:pt idx="19">
                  <c:v>18-06</c:v>
                </c:pt>
                <c:pt idx="20">
                  <c:v>18-07</c:v>
                </c:pt>
                <c:pt idx="21">
                  <c:v>18-08</c:v>
                </c:pt>
              </c:strCache>
            </c:strRef>
          </c:cat>
          <c:val>
            <c:numRef>
              <c:f>Raw_Summary!$D$4:$D$25</c:f>
              <c:numCache>
                <c:formatCode>General</c:formatCode>
                <c:ptCount val="22"/>
                <c:pt idx="0">
                  <c:v>46566.71</c:v>
                </c:pt>
                <c:pt idx="1">
                  <c:v>19.62</c:v>
                </c:pt>
                <c:pt idx="2">
                  <c:v>127545.67</c:v>
                </c:pt>
                <c:pt idx="3">
                  <c:v>271298.65000000002</c:v>
                </c:pt>
                <c:pt idx="4">
                  <c:v>414369.39</c:v>
                </c:pt>
                <c:pt idx="5">
                  <c:v>390952.18</c:v>
                </c:pt>
                <c:pt idx="6">
                  <c:v>567066.73</c:v>
                </c:pt>
                <c:pt idx="7">
                  <c:v>490225.6</c:v>
                </c:pt>
                <c:pt idx="8">
                  <c:v>566403.93000000005</c:v>
                </c:pt>
                <c:pt idx="9">
                  <c:v>646000.61</c:v>
                </c:pt>
                <c:pt idx="10">
                  <c:v>701169.99</c:v>
                </c:pt>
                <c:pt idx="11">
                  <c:v>751140.27</c:v>
                </c:pt>
                <c:pt idx="12">
                  <c:v>1153528.05</c:v>
                </c:pt>
                <c:pt idx="13">
                  <c:v>843199.17</c:v>
                </c:pt>
                <c:pt idx="14">
                  <c:v>1078606.8600000001</c:v>
                </c:pt>
                <c:pt idx="15">
                  <c:v>966510.88</c:v>
                </c:pt>
                <c:pt idx="16">
                  <c:v>1120678</c:v>
                </c:pt>
                <c:pt idx="17">
                  <c:v>1132933.95</c:v>
                </c:pt>
                <c:pt idx="18">
                  <c:v>1128836.69</c:v>
                </c:pt>
                <c:pt idx="19">
                  <c:v>1012090.68</c:v>
                </c:pt>
                <c:pt idx="20">
                  <c:v>1027903.86</c:v>
                </c:pt>
                <c:pt idx="21">
                  <c:v>985414.28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0-1942-B985-AD7CE2E29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0846464"/>
        <c:axId val="1013800384"/>
      </c:barChart>
      <c:catAx>
        <c:axId val="94084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00384"/>
        <c:crosses val="autoZero"/>
        <c:auto val="1"/>
        <c:lblAlgn val="ctr"/>
        <c:lblOffset val="100"/>
        <c:noMultiLvlLbl val="0"/>
      </c:catAx>
      <c:valAx>
        <c:axId val="1013800384"/>
        <c:scaling>
          <c:orientation val="minMax"/>
          <c:max val="12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4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367997</xdr:colOff>
      <xdr:row>6</xdr:row>
      <xdr:rowOff>169599</xdr:rowOff>
    </xdr:from>
    <xdr:to>
      <xdr:col>14</xdr:col>
      <xdr:colOff>3770</xdr:colOff>
      <xdr:row>20</xdr:row>
      <xdr:rowOff>117201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C0FD90-F279-DE57-8EDD-5E1613F3F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362804</xdr:colOff>
      <xdr:row>21</xdr:row>
      <xdr:rowOff>33811</xdr:rowOff>
    </xdr:from>
    <xdr:to>
      <xdr:col>13</xdr:col>
      <xdr:colOff>821282</xdr:colOff>
      <xdr:row>31</xdr:row>
      <xdr:rowOff>127798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12005C-85A7-B40B-B2E5-DA855F64E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6</xdr:row>
      <xdr:rowOff>167736</xdr:rowOff>
    </xdr:from>
    <xdr:to>
      <xdr:col>8</xdr:col>
      <xdr:colOff>271573</xdr:colOff>
      <xdr:row>31</xdr:row>
      <xdr:rowOff>127798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6B68A1-EF70-4C7C-E63E-8D641468A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D3E190A-A14C-F34B-850F-12B10D22F4D4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item_sold" tableColumnId="2"/>
      <queryTableField id="3" name="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8A4F03A-92F9-D541-BC8A-7182C2BFFD16}" autoFormatId="16" applyNumberFormats="0" applyBorderFormats="0" applyFontFormats="0" applyPatternFormats="0" applyAlignmentFormats="0" applyWidthHeightFormats="0">
  <queryTableRefresh nextId="4">
    <queryTableFields count="3">
      <queryTableField id="1" name="order_month" tableColumnId="1"/>
      <queryTableField id="2" name="total_orders" tableColumnId="2"/>
      <queryTableField id="3" name="total_reven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A3D5AC5-D279-0447-A227-014AD8A3E4CB}" autoFormatId="16" applyNumberFormats="0" applyBorderFormats="0" applyFontFormats="0" applyPatternFormats="0" applyAlignmentFormats="0" applyWidthHeightFormats="0">
  <queryTableRefresh nextId="4">
    <queryTableFields count="3">
      <queryTableField id="1" name="segment" tableColumnId="1"/>
      <queryTableField id="2" name="customer_count" tableColumnId="2"/>
      <queryTableField id="3" name="avg_spen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4FFB5C9B-4A51-874E-861D-BF78B3D6C3D0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customer" tableColumnId="2"/>
      <queryTableField id="3" name="avg_delive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677828-970E-0848-91ED-C50F9BD03A17}" name="Query_2" displayName="Query_2" ref="F3:H13" tableType="queryTable" totalsRowShown="0" headerRowDxfId="22" headerRowBorderDxfId="27" tableBorderDxfId="28" totalsRowBorderDxfId="26">
  <autoFilter ref="F3:H13" xr:uid="{0E677828-970E-0848-91ED-C50F9BD03A17}"/>
  <tableColumns count="3">
    <tableColumn id="1" xr3:uid="{96200C0F-1790-6947-A796-63D10A8B1E9F}" uniqueName="1" name="Category" queryTableFieldId="1" dataDxfId="25"/>
    <tableColumn id="2" xr3:uid="{BA11CFE4-570E-314B-B53F-31C3F88A0C79}" uniqueName="2" name="Item_Sold" queryTableFieldId="2" dataDxfId="24"/>
    <tableColumn id="3" xr3:uid="{5A93C035-96F9-4A46-A451-E582CAD2B7CE}" uniqueName="3" name="Revenue" queryTableFieldId="3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DF2A9E-1FB3-4840-A53A-05313D599B98}" name="Query_1__2" displayName="Query_1__2" ref="B3:D25" tableType="queryTable" totalsRowShown="0" headerRowDxfId="29" headerRowBorderDxfId="34" tableBorderDxfId="35" totalsRowBorderDxfId="33">
  <autoFilter ref="B3:D25" xr:uid="{21DF2A9E-1FB3-4840-A53A-05313D599B98}"/>
  <tableColumns count="3">
    <tableColumn id="1" xr3:uid="{98742EDD-B263-1544-8DA4-E57E7F7FD55A}" uniqueName="1" name="Order_Month" queryTableFieldId="1" dataDxfId="32"/>
    <tableColumn id="2" xr3:uid="{00DB0F72-5BAA-D84A-9B01-06ECE8EFF3A2}" uniqueName="2" name="Total_Orders" queryTableFieldId="2" dataDxfId="31"/>
    <tableColumn id="3" xr3:uid="{ED48DE81-25D8-A740-A416-0830B826E06D}" uniqueName="3" name="Total_Revenue" queryTableFieldId="3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F8300-8478-914D-82F1-7B7AFCF42907}" name="Table1" displayName="Table1" ref="J3:M28" totalsRowShown="0" headerRowDxfId="14" headerRowBorderDxfId="20" tableBorderDxfId="21" totalsRowBorderDxfId="19">
  <autoFilter ref="J3:M28" xr:uid="{5D0F8300-8478-914D-82F1-7B7AFCF42907}"/>
  <tableColumns count="4">
    <tableColumn id="1" xr3:uid="{C1EC78A4-3054-504A-8CB0-2E7E18B52601}" name="Order_Month" dataDxfId="18"/>
    <tableColumn id="2" xr3:uid="{31B7EDA7-1666-5949-89CE-A1FD025BCCDA}" name="Total_Orders" dataDxfId="17"/>
    <tableColumn id="3" xr3:uid="{8FE5ADDC-B304-D240-9A6A-99358961B84D}" name="Canceled_Orders" dataDxfId="16"/>
    <tableColumn id="4" xr3:uid="{6BDE2C19-445E-5044-B834-D25706A3F4BC}" name="Canceled_Rate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6BF249-127D-B14A-A1FE-8CBFD9063465}" name="Query_4" displayName="Query_4" ref="O3:Q6" tableType="queryTable" totalsRowShown="0" headerRowDxfId="7" headerRowBorderDxfId="12" tableBorderDxfId="13" totalsRowBorderDxfId="11">
  <autoFilter ref="O3:Q6" xr:uid="{986BF249-127D-B14A-A1FE-8CBFD9063465}"/>
  <tableColumns count="3">
    <tableColumn id="1" xr3:uid="{CB8BBFEF-62FD-284D-976A-B6DD36F87411}" uniqueName="1" name="Segment" queryTableFieldId="1" dataDxfId="10"/>
    <tableColumn id="2" xr3:uid="{B7DFCC7F-CC8B-8A4D-AC23-8F3442DBD628}" uniqueName="2" name="Customer_Count" queryTableFieldId="2" dataDxfId="9"/>
    <tableColumn id="3" xr3:uid="{5B7BAE7B-E7BD-1441-9832-FA722363340B}" uniqueName="3" name="Avg_Spend" queryTableFieldId="3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CF87E9-E58A-0C47-A7DF-D5F14EA93541}" name="Query_5" displayName="Query_5" ref="S3:U30" tableType="queryTable" totalsRowShown="0" headerRowDxfId="0" headerRowBorderDxfId="5" tableBorderDxfId="6" totalsRowBorderDxfId="4">
  <autoFilter ref="S3:U30" xr:uid="{7FCF87E9-E58A-0C47-A7DF-D5F14EA93541}"/>
  <tableColumns count="3">
    <tableColumn id="1" xr3:uid="{77F157C0-FED8-A449-838E-8CFA03D27279}" uniqueName="1" name="State" queryTableFieldId="1" dataDxfId="3"/>
    <tableColumn id="2" xr3:uid="{99AF5003-7DF5-124B-9935-EDA0924D1E2D}" uniqueName="2" name="Customer" queryTableFieldId="2" dataDxfId="2"/>
    <tableColumn id="3" xr3:uid="{4572CC5B-F9AB-954D-B283-064E1AD09221}" uniqueName="3" name="Avg_Delivery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A30E-0A46-1A42-9608-A70B5A0DA472}">
  <dimension ref="B2:U30"/>
  <sheetViews>
    <sheetView showGridLines="0" tabSelected="1" zoomScale="160" workbookViewId="0"/>
  </sheetViews>
  <sheetFormatPr baseColWidth="10" defaultRowHeight="16" x14ac:dyDescent="0.2"/>
  <cols>
    <col min="1" max="1" width="2.33203125" customWidth="1"/>
    <col min="2" max="2" width="14" bestFit="1" customWidth="1"/>
    <col min="3" max="3" width="13.5" bestFit="1" customWidth="1"/>
    <col min="4" max="4" width="14.6640625" bestFit="1" customWidth="1"/>
    <col min="6" max="6" width="20.1640625" bestFit="1" customWidth="1"/>
    <col min="7" max="7" width="11.6640625" bestFit="1" customWidth="1"/>
    <col min="8" max="8" width="11.5" bestFit="1" customWidth="1"/>
    <col min="10" max="10" width="14" bestFit="1" customWidth="1"/>
    <col min="11" max="11" width="13.5" bestFit="1" customWidth="1"/>
    <col min="12" max="12" width="16.1640625" bestFit="1" customWidth="1"/>
    <col min="13" max="13" width="15.1640625" bestFit="1" customWidth="1"/>
    <col min="15" max="15" width="15.83203125" bestFit="1" customWidth="1"/>
    <col min="16" max="16" width="17" bestFit="1" customWidth="1"/>
    <col min="17" max="17" width="12.1640625" bestFit="1" customWidth="1"/>
    <col min="19" max="19" width="7.83203125" bestFit="1" customWidth="1"/>
    <col min="20" max="20" width="11.5" bestFit="1" customWidth="1"/>
    <col min="21" max="21" width="13.5" bestFit="1" customWidth="1"/>
  </cols>
  <sheetData>
    <row r="2" spans="2:21" s="22" customFormat="1" x14ac:dyDescent="0.2">
      <c r="B2" s="23" t="s">
        <v>89</v>
      </c>
      <c r="C2" s="23"/>
      <c r="D2" s="23"/>
      <c r="F2" s="23" t="s">
        <v>90</v>
      </c>
      <c r="G2" s="23"/>
      <c r="H2" s="23"/>
      <c r="J2" s="23" t="s">
        <v>91</v>
      </c>
      <c r="K2" s="23"/>
      <c r="L2" s="23"/>
      <c r="M2" s="23"/>
      <c r="O2" s="23" t="s">
        <v>92</v>
      </c>
      <c r="P2" s="23"/>
      <c r="Q2" s="23"/>
      <c r="S2" s="23" t="s">
        <v>93</v>
      </c>
      <c r="T2" s="23"/>
      <c r="U2" s="23"/>
    </row>
    <row r="3" spans="2:21" x14ac:dyDescent="0.2">
      <c r="B3" s="14" t="s">
        <v>75</v>
      </c>
      <c r="C3" s="15" t="s">
        <v>76</v>
      </c>
      <c r="D3" s="16" t="s">
        <v>77</v>
      </c>
      <c r="F3" s="14" t="s">
        <v>78</v>
      </c>
      <c r="G3" s="15" t="s">
        <v>79</v>
      </c>
      <c r="H3" s="16" t="s">
        <v>80</v>
      </c>
      <c r="J3" s="14" t="s">
        <v>75</v>
      </c>
      <c r="K3" s="15" t="s">
        <v>76</v>
      </c>
      <c r="L3" s="15" t="s">
        <v>81</v>
      </c>
      <c r="M3" s="16" t="s">
        <v>82</v>
      </c>
      <c r="O3" s="14" t="s">
        <v>83</v>
      </c>
      <c r="P3" s="15" t="s">
        <v>84</v>
      </c>
      <c r="Q3" s="16" t="s">
        <v>85</v>
      </c>
      <c r="S3" s="14" t="s">
        <v>86</v>
      </c>
      <c r="T3" s="15" t="s">
        <v>87</v>
      </c>
      <c r="U3" s="16" t="s">
        <v>88</v>
      </c>
    </row>
    <row r="4" spans="2:21" x14ac:dyDescent="0.2">
      <c r="B4" s="17" t="s">
        <v>0</v>
      </c>
      <c r="C4" s="1">
        <v>265</v>
      </c>
      <c r="D4" s="18">
        <v>46566.71</v>
      </c>
      <c r="F4" s="17" t="s">
        <v>22</v>
      </c>
      <c r="G4" s="1">
        <v>9465</v>
      </c>
      <c r="H4" s="18">
        <v>1233131.72</v>
      </c>
      <c r="J4" s="17" t="s">
        <v>32</v>
      </c>
      <c r="K4" s="1">
        <v>4</v>
      </c>
      <c r="L4" s="1">
        <v>2</v>
      </c>
      <c r="M4" s="18">
        <v>0.5</v>
      </c>
      <c r="O4" s="17" t="s">
        <v>45</v>
      </c>
      <c r="P4" s="1">
        <v>19296</v>
      </c>
      <c r="Q4" s="18">
        <v>425.14</v>
      </c>
      <c r="S4" s="17" t="s">
        <v>48</v>
      </c>
      <c r="T4" s="1">
        <v>67</v>
      </c>
      <c r="U4" s="18">
        <v>46.865699999999997</v>
      </c>
    </row>
    <row r="5" spans="2:21" x14ac:dyDescent="0.2">
      <c r="B5" s="17" t="s">
        <v>1</v>
      </c>
      <c r="C5" s="1">
        <v>1</v>
      </c>
      <c r="D5" s="18">
        <v>19.62</v>
      </c>
      <c r="F5" s="17" t="s">
        <v>23</v>
      </c>
      <c r="G5" s="1">
        <v>5859</v>
      </c>
      <c r="H5" s="18">
        <v>1166176.98</v>
      </c>
      <c r="J5" s="17" t="s">
        <v>0</v>
      </c>
      <c r="K5" s="1">
        <v>324</v>
      </c>
      <c r="L5" s="1">
        <v>24</v>
      </c>
      <c r="M5" s="18">
        <v>7.0000000000000007E-2</v>
      </c>
      <c r="O5" s="17" t="s">
        <v>46</v>
      </c>
      <c r="P5" s="1">
        <v>28944</v>
      </c>
      <c r="Q5" s="18">
        <v>145.63</v>
      </c>
      <c r="S5" s="17" t="s">
        <v>49</v>
      </c>
      <c r="T5" s="1">
        <v>41</v>
      </c>
      <c r="U5" s="18">
        <v>46.634099999999997</v>
      </c>
    </row>
    <row r="6" spans="2:21" x14ac:dyDescent="0.2">
      <c r="B6" s="17" t="s">
        <v>2</v>
      </c>
      <c r="C6" s="1">
        <v>750</v>
      </c>
      <c r="D6" s="18">
        <v>127545.67</v>
      </c>
      <c r="F6" s="17" t="s">
        <v>24</v>
      </c>
      <c r="G6" s="1">
        <v>10953</v>
      </c>
      <c r="H6" s="18">
        <v>1023434.76</v>
      </c>
      <c r="J6" s="17" t="s">
        <v>1</v>
      </c>
      <c r="K6" s="1">
        <v>1</v>
      </c>
      <c r="L6" s="1">
        <v>0</v>
      </c>
      <c r="M6" s="18">
        <v>0</v>
      </c>
      <c r="O6" s="19" t="s">
        <v>47</v>
      </c>
      <c r="P6" s="20">
        <v>48237</v>
      </c>
      <c r="Q6" s="21">
        <v>62.28</v>
      </c>
      <c r="S6" s="17" t="s">
        <v>50</v>
      </c>
      <c r="T6" s="1">
        <v>145</v>
      </c>
      <c r="U6" s="18">
        <v>45.924100000000003</v>
      </c>
    </row>
    <row r="7" spans="2:21" x14ac:dyDescent="0.2">
      <c r="B7" s="17" t="s">
        <v>3</v>
      </c>
      <c r="C7" s="1">
        <v>1653</v>
      </c>
      <c r="D7" s="18">
        <v>271298.65000000002</v>
      </c>
      <c r="F7" s="17" t="s">
        <v>25</v>
      </c>
      <c r="G7" s="1">
        <v>8431</v>
      </c>
      <c r="H7" s="18">
        <v>954852.55</v>
      </c>
      <c r="J7" s="17" t="s">
        <v>2</v>
      </c>
      <c r="K7" s="1">
        <v>800</v>
      </c>
      <c r="L7" s="1">
        <v>3</v>
      </c>
      <c r="M7" s="18">
        <v>0</v>
      </c>
      <c r="S7" s="17" t="s">
        <v>51</v>
      </c>
      <c r="T7" s="1">
        <v>80</v>
      </c>
      <c r="U7" s="18">
        <v>41.725000000000001</v>
      </c>
    </row>
    <row r="8" spans="2:21" x14ac:dyDescent="0.2">
      <c r="B8" s="17" t="s">
        <v>4</v>
      </c>
      <c r="C8" s="1">
        <v>2546</v>
      </c>
      <c r="D8" s="18">
        <v>414369.39</v>
      </c>
      <c r="F8" s="17" t="s">
        <v>26</v>
      </c>
      <c r="G8" s="1">
        <v>7644</v>
      </c>
      <c r="H8" s="18">
        <v>888724.61</v>
      </c>
      <c r="J8" s="17" t="s">
        <v>3</v>
      </c>
      <c r="K8" s="1">
        <v>1780</v>
      </c>
      <c r="L8" s="1">
        <v>17</v>
      </c>
      <c r="M8" s="18">
        <v>0.01</v>
      </c>
      <c r="S8" s="17" t="s">
        <v>52</v>
      </c>
      <c r="T8" s="1">
        <v>243</v>
      </c>
      <c r="U8" s="18">
        <v>39.386800000000001</v>
      </c>
    </row>
    <row r="9" spans="2:21" x14ac:dyDescent="0.2">
      <c r="B9" s="17" t="s">
        <v>5</v>
      </c>
      <c r="C9" s="1">
        <v>2303</v>
      </c>
      <c r="D9" s="18">
        <v>390952.18</v>
      </c>
      <c r="F9" s="17" t="s">
        <v>27</v>
      </c>
      <c r="G9" s="1">
        <v>8160</v>
      </c>
      <c r="H9" s="18">
        <v>711927.69</v>
      </c>
      <c r="J9" s="17" t="s">
        <v>4</v>
      </c>
      <c r="K9" s="1">
        <v>2682</v>
      </c>
      <c r="L9" s="1">
        <v>33</v>
      </c>
      <c r="M9" s="18">
        <v>0.01</v>
      </c>
      <c r="S9" s="17" t="s">
        <v>53</v>
      </c>
      <c r="T9" s="1">
        <v>946</v>
      </c>
      <c r="U9" s="18">
        <v>37.791800000000002</v>
      </c>
    </row>
    <row r="10" spans="2:21" x14ac:dyDescent="0.2">
      <c r="B10" s="17" t="s">
        <v>6</v>
      </c>
      <c r="C10" s="1">
        <v>3546</v>
      </c>
      <c r="D10" s="18">
        <v>567066.73</v>
      </c>
      <c r="F10" s="17" t="s">
        <v>28</v>
      </c>
      <c r="G10" s="1">
        <v>6795</v>
      </c>
      <c r="H10" s="18">
        <v>615628.68999999994</v>
      </c>
      <c r="J10" s="17" t="s">
        <v>5</v>
      </c>
      <c r="K10" s="1">
        <v>2404</v>
      </c>
      <c r="L10" s="1">
        <v>18</v>
      </c>
      <c r="M10" s="18">
        <v>0.01</v>
      </c>
      <c r="S10" s="17" t="s">
        <v>54</v>
      </c>
      <c r="T10" s="1">
        <v>517</v>
      </c>
      <c r="U10" s="18">
        <v>33.649900000000002</v>
      </c>
    </row>
    <row r="11" spans="2:21" x14ac:dyDescent="0.2">
      <c r="B11" s="17" t="s">
        <v>7</v>
      </c>
      <c r="C11" s="1">
        <v>3135</v>
      </c>
      <c r="D11" s="18">
        <v>490225.6</v>
      </c>
      <c r="F11" s="17" t="s">
        <v>29</v>
      </c>
      <c r="G11" s="1">
        <v>3718</v>
      </c>
      <c r="H11" s="18">
        <v>610204.1</v>
      </c>
      <c r="J11" s="17" t="s">
        <v>6</v>
      </c>
      <c r="K11" s="1">
        <v>3700</v>
      </c>
      <c r="L11" s="1">
        <v>29</v>
      </c>
      <c r="M11" s="18">
        <v>0.01</v>
      </c>
      <c r="S11" s="17" t="s">
        <v>55</v>
      </c>
      <c r="T11" s="1">
        <v>397</v>
      </c>
      <c r="U11" s="18">
        <v>33.209099999999999</v>
      </c>
    </row>
    <row r="12" spans="2:21" x14ac:dyDescent="0.2">
      <c r="B12" s="17" t="s">
        <v>8</v>
      </c>
      <c r="C12" s="1">
        <v>3872</v>
      </c>
      <c r="D12" s="18">
        <v>566403.93000000005</v>
      </c>
      <c r="F12" s="17" t="s">
        <v>30</v>
      </c>
      <c r="G12" s="1">
        <v>4140</v>
      </c>
      <c r="H12" s="18">
        <v>578966.65</v>
      </c>
      <c r="J12" s="17" t="s">
        <v>7</v>
      </c>
      <c r="K12" s="1">
        <v>3245</v>
      </c>
      <c r="L12" s="1">
        <v>16</v>
      </c>
      <c r="M12" s="18">
        <v>0</v>
      </c>
      <c r="S12" s="17" t="s">
        <v>56</v>
      </c>
      <c r="T12" s="1">
        <v>474</v>
      </c>
      <c r="U12" s="18">
        <v>32.873399999999997</v>
      </c>
    </row>
    <row r="13" spans="2:21" x14ac:dyDescent="0.2">
      <c r="B13" s="17" t="s">
        <v>9</v>
      </c>
      <c r="C13" s="1">
        <v>4193</v>
      </c>
      <c r="D13" s="18">
        <v>646000.61</v>
      </c>
      <c r="F13" s="19" t="s">
        <v>31</v>
      </c>
      <c r="G13" s="20">
        <v>4030</v>
      </c>
      <c r="H13" s="21">
        <v>471286.48</v>
      </c>
      <c r="J13" s="17" t="s">
        <v>8</v>
      </c>
      <c r="K13" s="1">
        <v>4026</v>
      </c>
      <c r="L13" s="1">
        <v>28</v>
      </c>
      <c r="M13" s="18">
        <v>0.01</v>
      </c>
      <c r="S13" s="17" t="s">
        <v>57</v>
      </c>
      <c r="T13" s="1">
        <v>886</v>
      </c>
      <c r="U13" s="18">
        <v>32.366799999999998</v>
      </c>
    </row>
    <row r="14" spans="2:21" x14ac:dyDescent="0.2">
      <c r="B14" s="17" t="s">
        <v>10</v>
      </c>
      <c r="C14" s="1">
        <v>4150</v>
      </c>
      <c r="D14" s="18">
        <v>701169.99</v>
      </c>
      <c r="J14" s="17" t="s">
        <v>9</v>
      </c>
      <c r="K14" s="1">
        <v>4331</v>
      </c>
      <c r="L14" s="1">
        <v>27</v>
      </c>
      <c r="M14" s="18">
        <v>0.01</v>
      </c>
      <c r="S14" s="17" t="s">
        <v>58</v>
      </c>
      <c r="T14" s="1">
        <v>1279</v>
      </c>
      <c r="U14" s="18">
        <v>32.0047</v>
      </c>
    </row>
    <row r="15" spans="2:21" x14ac:dyDescent="0.2">
      <c r="B15" s="17" t="s">
        <v>11</v>
      </c>
      <c r="C15" s="1">
        <v>4478</v>
      </c>
      <c r="D15" s="18">
        <v>751140.27</v>
      </c>
      <c r="J15" s="17" t="s">
        <v>10</v>
      </c>
      <c r="K15" s="1">
        <v>4285</v>
      </c>
      <c r="L15" s="1">
        <v>20</v>
      </c>
      <c r="M15" s="18">
        <v>0</v>
      </c>
      <c r="S15" s="17" t="s">
        <v>59</v>
      </c>
      <c r="T15" s="1">
        <v>1593</v>
      </c>
      <c r="U15" s="18">
        <v>31.689299999999999</v>
      </c>
    </row>
    <row r="16" spans="2:21" x14ac:dyDescent="0.2">
      <c r="B16" s="17" t="s">
        <v>12</v>
      </c>
      <c r="C16" s="1">
        <v>7289</v>
      </c>
      <c r="D16" s="18">
        <v>1153528.05</v>
      </c>
      <c r="J16" s="17" t="s">
        <v>11</v>
      </c>
      <c r="K16" s="1">
        <v>4631</v>
      </c>
      <c r="L16" s="1">
        <v>26</v>
      </c>
      <c r="M16" s="18">
        <v>0.01</v>
      </c>
      <c r="S16" s="17" t="s">
        <v>60</v>
      </c>
      <c r="T16" s="1">
        <v>335</v>
      </c>
      <c r="U16" s="18">
        <v>31.483599999999999</v>
      </c>
    </row>
    <row r="17" spans="2:21" x14ac:dyDescent="0.2">
      <c r="B17" s="17" t="s">
        <v>13</v>
      </c>
      <c r="C17" s="1">
        <v>5513</v>
      </c>
      <c r="D17" s="18">
        <v>843199.17</v>
      </c>
      <c r="J17" s="17" t="s">
        <v>12</v>
      </c>
      <c r="K17" s="1">
        <v>7544</v>
      </c>
      <c r="L17" s="1">
        <v>37</v>
      </c>
      <c r="M17" s="18">
        <v>0</v>
      </c>
      <c r="S17" s="17" t="s">
        <v>61</v>
      </c>
      <c r="T17" s="1">
        <v>717</v>
      </c>
      <c r="U17" s="18">
        <v>31.0837</v>
      </c>
    </row>
    <row r="18" spans="2:21" x14ac:dyDescent="0.2">
      <c r="B18" s="17" t="s">
        <v>14</v>
      </c>
      <c r="C18" s="1">
        <v>7069</v>
      </c>
      <c r="D18" s="18">
        <v>1078606.8600000001</v>
      </c>
      <c r="J18" s="17" t="s">
        <v>13</v>
      </c>
      <c r="K18" s="1">
        <v>5673</v>
      </c>
      <c r="L18" s="1">
        <v>11</v>
      </c>
      <c r="M18" s="18">
        <v>0</v>
      </c>
      <c r="S18" s="17" t="s">
        <v>62</v>
      </c>
      <c r="T18" s="1">
        <v>476</v>
      </c>
      <c r="U18" s="18">
        <v>30.701699999999999</v>
      </c>
    </row>
    <row r="19" spans="2:21" x14ac:dyDescent="0.2">
      <c r="B19" s="17" t="s">
        <v>15</v>
      </c>
      <c r="C19" s="1">
        <v>6555</v>
      </c>
      <c r="D19" s="18">
        <v>966510.88</v>
      </c>
      <c r="J19" s="17" t="s">
        <v>14</v>
      </c>
      <c r="K19" s="1">
        <v>7269</v>
      </c>
      <c r="L19" s="1">
        <v>34</v>
      </c>
      <c r="M19" s="18">
        <v>0</v>
      </c>
      <c r="S19" s="17" t="s">
        <v>63</v>
      </c>
      <c r="T19" s="1">
        <v>3256</v>
      </c>
      <c r="U19" s="18">
        <v>30.0731</v>
      </c>
    </row>
    <row r="20" spans="2:21" x14ac:dyDescent="0.2">
      <c r="B20" s="17" t="s">
        <v>16</v>
      </c>
      <c r="C20" s="1">
        <v>7003</v>
      </c>
      <c r="D20" s="18">
        <v>1120678</v>
      </c>
      <c r="J20" s="17" t="s">
        <v>15</v>
      </c>
      <c r="K20" s="1">
        <v>6728</v>
      </c>
      <c r="L20" s="1">
        <v>73</v>
      </c>
      <c r="M20" s="18">
        <v>0.01</v>
      </c>
      <c r="S20" s="17" t="s">
        <v>64</v>
      </c>
      <c r="T20" s="1">
        <v>274</v>
      </c>
      <c r="U20" s="18">
        <v>29.729900000000001</v>
      </c>
    </row>
    <row r="21" spans="2:21" x14ac:dyDescent="0.2">
      <c r="B21" s="17" t="s">
        <v>17</v>
      </c>
      <c r="C21" s="1">
        <v>6798</v>
      </c>
      <c r="D21" s="18">
        <v>1132933.95</v>
      </c>
      <c r="J21" s="17" t="s">
        <v>16</v>
      </c>
      <c r="K21" s="1">
        <v>7211</v>
      </c>
      <c r="L21" s="1">
        <v>26</v>
      </c>
      <c r="M21" s="18">
        <v>0</v>
      </c>
      <c r="S21" s="17" t="s">
        <v>65</v>
      </c>
      <c r="T21" s="1">
        <v>5345</v>
      </c>
      <c r="U21" s="18">
        <v>29.158799999999999</v>
      </c>
    </row>
    <row r="22" spans="2:21" x14ac:dyDescent="0.2">
      <c r="B22" s="17" t="s">
        <v>18</v>
      </c>
      <c r="C22" s="1">
        <v>6749</v>
      </c>
      <c r="D22" s="18">
        <v>1128836.69</v>
      </c>
      <c r="J22" s="17" t="s">
        <v>17</v>
      </c>
      <c r="K22" s="1">
        <v>6939</v>
      </c>
      <c r="L22" s="1">
        <v>15</v>
      </c>
      <c r="M22" s="18">
        <v>0</v>
      </c>
      <c r="S22" s="17" t="s">
        <v>66</v>
      </c>
      <c r="T22" s="1">
        <v>1957</v>
      </c>
      <c r="U22" s="18">
        <v>27.721499999999999</v>
      </c>
    </row>
    <row r="23" spans="2:21" x14ac:dyDescent="0.2">
      <c r="B23" s="17" t="s">
        <v>19</v>
      </c>
      <c r="C23" s="1">
        <v>6099</v>
      </c>
      <c r="D23" s="18">
        <v>1012090.68</v>
      </c>
      <c r="J23" s="17" t="s">
        <v>18</v>
      </c>
      <c r="K23" s="1">
        <v>6873</v>
      </c>
      <c r="L23" s="1">
        <v>24</v>
      </c>
      <c r="M23" s="18">
        <v>0</v>
      </c>
      <c r="S23" s="17" t="s">
        <v>67</v>
      </c>
      <c r="T23" s="1">
        <v>12350</v>
      </c>
      <c r="U23" s="18">
        <v>26.998200000000001</v>
      </c>
    </row>
    <row r="24" spans="2:21" x14ac:dyDescent="0.2">
      <c r="B24" s="17" t="s">
        <v>20</v>
      </c>
      <c r="C24" s="1">
        <v>6159</v>
      </c>
      <c r="D24" s="18">
        <v>1027903.86</v>
      </c>
      <c r="J24" s="17" t="s">
        <v>19</v>
      </c>
      <c r="K24" s="1">
        <v>6167</v>
      </c>
      <c r="L24" s="1">
        <v>18</v>
      </c>
      <c r="M24" s="18">
        <v>0</v>
      </c>
      <c r="S24" s="17" t="s">
        <v>68</v>
      </c>
      <c r="T24" s="1">
        <v>701</v>
      </c>
      <c r="U24" s="18">
        <v>26.5977</v>
      </c>
    </row>
    <row r="25" spans="2:21" x14ac:dyDescent="0.2">
      <c r="B25" s="19" t="s">
        <v>21</v>
      </c>
      <c r="C25" s="20">
        <v>6351</v>
      </c>
      <c r="D25" s="21">
        <v>985414.28</v>
      </c>
      <c r="J25" s="17" t="s">
        <v>20</v>
      </c>
      <c r="K25" s="1">
        <v>6292</v>
      </c>
      <c r="L25" s="1">
        <v>41</v>
      </c>
      <c r="M25" s="18">
        <v>0.01</v>
      </c>
      <c r="S25" s="17" t="s">
        <v>69</v>
      </c>
      <c r="T25" s="1">
        <v>3546</v>
      </c>
      <c r="U25" s="18">
        <v>26.406400000000001</v>
      </c>
    </row>
    <row r="26" spans="2:21" x14ac:dyDescent="0.2">
      <c r="J26" s="17" t="s">
        <v>21</v>
      </c>
      <c r="K26" s="1">
        <v>6512</v>
      </c>
      <c r="L26" s="1">
        <v>84</v>
      </c>
      <c r="M26" s="18">
        <v>0.01</v>
      </c>
      <c r="S26" s="17" t="s">
        <v>70</v>
      </c>
      <c r="T26" s="1">
        <v>1995</v>
      </c>
      <c r="U26" s="18">
        <v>26.220099999999999</v>
      </c>
    </row>
    <row r="27" spans="2:21" x14ac:dyDescent="0.2">
      <c r="J27" s="17" t="s">
        <v>33</v>
      </c>
      <c r="K27" s="1">
        <v>16</v>
      </c>
      <c r="L27" s="1">
        <v>15</v>
      </c>
      <c r="M27" s="18">
        <v>0.94</v>
      </c>
      <c r="S27" s="17" t="s">
        <v>71</v>
      </c>
      <c r="T27" s="1">
        <v>4923</v>
      </c>
      <c r="U27" s="18">
        <v>25.252300000000002</v>
      </c>
    </row>
    <row r="28" spans="2:21" x14ac:dyDescent="0.2">
      <c r="J28" s="19" t="s">
        <v>34</v>
      </c>
      <c r="K28" s="20">
        <v>4</v>
      </c>
      <c r="L28" s="20">
        <v>4</v>
      </c>
      <c r="M28" s="21">
        <v>1</v>
      </c>
      <c r="S28" s="17" t="s">
        <v>72</v>
      </c>
      <c r="T28" s="1">
        <v>11354</v>
      </c>
      <c r="U28" s="18">
        <v>25.187999999999999</v>
      </c>
    </row>
    <row r="29" spans="2:21" x14ac:dyDescent="0.2">
      <c r="S29" s="17" t="s">
        <v>73</v>
      </c>
      <c r="T29" s="1">
        <v>2080</v>
      </c>
      <c r="U29" s="18">
        <v>24.947099999999999</v>
      </c>
    </row>
    <row r="30" spans="2:21" x14ac:dyDescent="0.2">
      <c r="S30" s="19" t="s">
        <v>74</v>
      </c>
      <c r="T30" s="20">
        <v>40501</v>
      </c>
      <c r="U30" s="21">
        <v>19.776800000000001</v>
      </c>
    </row>
  </sheetData>
  <mergeCells count="5">
    <mergeCell ref="B2:D2"/>
    <mergeCell ref="F2:H2"/>
    <mergeCell ref="J2:M2"/>
    <mergeCell ref="O2:Q2"/>
    <mergeCell ref="S2:U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D5C2-E4D3-A242-8C95-72A80253727C}">
  <dimension ref="A1:C7"/>
  <sheetViews>
    <sheetView zoomScale="222" workbookViewId="0">
      <selection activeCell="B11" sqref="B11"/>
    </sheetView>
  </sheetViews>
  <sheetFormatPr baseColWidth="10" defaultRowHeight="16" x14ac:dyDescent="0.2"/>
  <cols>
    <col min="1" max="1" width="21.5" bestFit="1" customWidth="1"/>
    <col min="2" max="2" width="12.5" bestFit="1" customWidth="1"/>
    <col min="3" max="3" width="23" bestFit="1" customWidth="1"/>
  </cols>
  <sheetData>
    <row r="1" spans="1:3" x14ac:dyDescent="0.2">
      <c r="A1" s="4" t="s">
        <v>35</v>
      </c>
      <c r="B1" s="4" t="s">
        <v>36</v>
      </c>
      <c r="C1" s="4" t="s">
        <v>44</v>
      </c>
    </row>
    <row r="2" spans="1:3" x14ac:dyDescent="0.2">
      <c r="A2" s="1" t="s">
        <v>37</v>
      </c>
      <c r="B2" s="2">
        <f>SUM(Raw_Summary!D:D)</f>
        <v>15422461.769999998</v>
      </c>
      <c r="C2" s="7"/>
    </row>
    <row r="3" spans="1:3" x14ac:dyDescent="0.2">
      <c r="A3" s="1" t="s">
        <v>38</v>
      </c>
      <c r="B3" s="2">
        <f>SUM(Raw_Summary!C:C)</f>
        <v>96477</v>
      </c>
      <c r="C3" s="7"/>
    </row>
    <row r="4" spans="1:3" x14ac:dyDescent="0.2">
      <c r="A4" s="1" t="s">
        <v>39</v>
      </c>
      <c r="B4" s="2">
        <f>B2/B3</f>
        <v>159.85635716284708</v>
      </c>
      <c r="C4" s="7"/>
    </row>
    <row r="5" spans="1:3" x14ac:dyDescent="0.2">
      <c r="A5" s="1" t="s">
        <v>40</v>
      </c>
      <c r="B5" s="3">
        <v>0.65</v>
      </c>
      <c r="C5" s="7" t="s">
        <v>42</v>
      </c>
    </row>
    <row r="6" spans="1:3" x14ac:dyDescent="0.2">
      <c r="A6" s="1" t="s">
        <v>41</v>
      </c>
      <c r="B6" s="1" t="str">
        <f>INDEX(Raw_Summary!F:F, MATCH(MAX(Raw_Summary!H:H), Raw_Summary!H:H, 0))</f>
        <v>beleza_saude</v>
      </c>
      <c r="C6" s="7"/>
    </row>
    <row r="7" spans="1:3" x14ac:dyDescent="0.2">
      <c r="A7" s="1" t="s">
        <v>43</v>
      </c>
      <c r="B7" s="2">
        <f>AVERAGE(#REF!)</f>
        <v>0.10440000000000001</v>
      </c>
      <c r="C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7DA4-EA4F-1344-BFF4-CB8A39B614B4}">
  <dimension ref="C2:N9"/>
  <sheetViews>
    <sheetView showGridLines="0" zoomScale="157" workbookViewId="0">
      <selection activeCell="AA42" sqref="AA42"/>
    </sheetView>
  </sheetViews>
  <sheetFormatPr baseColWidth="10" defaultRowHeight="16" x14ac:dyDescent="0.2"/>
  <cols>
    <col min="1" max="2" width="10.83203125" style="5"/>
    <col min="3" max="3" width="10.83203125" style="5" customWidth="1"/>
    <col min="4" max="16384" width="10.83203125" style="5"/>
  </cols>
  <sheetData>
    <row r="2" spans="3:14" ht="16" customHeight="1" x14ac:dyDescent="0.2">
      <c r="C2" s="8" t="s">
        <v>37</v>
      </c>
      <c r="D2" s="8"/>
      <c r="E2" s="8" t="s">
        <v>38</v>
      </c>
      <c r="F2" s="8"/>
      <c r="G2" s="8" t="s">
        <v>39</v>
      </c>
      <c r="H2" s="8"/>
      <c r="I2" s="8" t="s">
        <v>40</v>
      </c>
      <c r="J2" s="8"/>
      <c r="K2" s="8" t="s">
        <v>41</v>
      </c>
      <c r="L2" s="8"/>
      <c r="M2" s="8" t="s">
        <v>43</v>
      </c>
      <c r="N2" s="8"/>
    </row>
    <row r="3" spans="3:14" ht="16" customHeight="1" x14ac:dyDescent="0.2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3:14" ht="16" customHeight="1" x14ac:dyDescent="0.2">
      <c r="C4" s="9">
        <f>Calculations!B2</f>
        <v>15422461.769999998</v>
      </c>
      <c r="D4" s="10"/>
      <c r="E4" s="11">
        <f>Calculations!B3</f>
        <v>96477</v>
      </c>
      <c r="F4" s="12"/>
      <c r="G4" s="11">
        <f>Calculations!B4</f>
        <v>159.85635716284708</v>
      </c>
      <c r="H4" s="12"/>
      <c r="I4" s="13">
        <f>Calculations!B5</f>
        <v>0.65</v>
      </c>
      <c r="J4" s="10"/>
      <c r="K4" s="12" t="str">
        <f>Calculations!B6</f>
        <v>beleza_saude</v>
      </c>
      <c r="L4" s="12"/>
      <c r="M4" s="11">
        <f>Calculations!B7</f>
        <v>0.10440000000000001</v>
      </c>
      <c r="N4" s="12"/>
    </row>
    <row r="5" spans="3:14" ht="16" customHeight="1" x14ac:dyDescent="0.2">
      <c r="C5" s="10"/>
      <c r="D5" s="10"/>
      <c r="E5" s="12"/>
      <c r="F5" s="12"/>
      <c r="G5" s="12"/>
      <c r="H5" s="12"/>
      <c r="I5" s="10"/>
      <c r="J5" s="10"/>
      <c r="K5" s="12"/>
      <c r="L5" s="12"/>
      <c r="M5" s="12"/>
      <c r="N5" s="12"/>
    </row>
    <row r="6" spans="3:14" ht="16" customHeight="1" x14ac:dyDescent="0.2">
      <c r="C6" s="10"/>
      <c r="D6" s="10"/>
      <c r="E6" s="12"/>
      <c r="F6" s="12"/>
      <c r="G6" s="12"/>
      <c r="H6" s="12"/>
      <c r="I6" s="10"/>
      <c r="J6" s="10"/>
      <c r="K6" s="12"/>
      <c r="L6" s="12"/>
      <c r="M6" s="12"/>
      <c r="N6" s="12"/>
    </row>
    <row r="9" spans="3:14" x14ac:dyDescent="0.2">
      <c r="C9" s="6"/>
      <c r="D9" s="6"/>
      <c r="E9" s="6"/>
      <c r="F9" s="6"/>
      <c r="G9" s="6"/>
      <c r="H9" s="6"/>
    </row>
  </sheetData>
  <mergeCells count="12">
    <mergeCell ref="K2:L3"/>
    <mergeCell ref="M2:N3"/>
    <mergeCell ref="C4:D6"/>
    <mergeCell ref="E4:F6"/>
    <mergeCell ref="G4:H6"/>
    <mergeCell ref="I4:J6"/>
    <mergeCell ref="K4:L6"/>
    <mergeCell ref="M4:N6"/>
    <mergeCell ref="C2:D3"/>
    <mergeCell ref="E2:F3"/>
    <mergeCell ref="G2:H3"/>
    <mergeCell ref="I2:J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A6809-C245-964C-BD52-33019E8F9D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Raw_Summary</vt:lpstr>
      <vt:lpstr>Calculations</vt:lpstr>
      <vt:lpstr>MIS_Dashboard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MBABDI6-1 Priyanshu Pandey</dc:creator>
  <cp:lastModifiedBy>Priyanshu Pandey</cp:lastModifiedBy>
  <dcterms:created xsi:type="dcterms:W3CDTF">2026-03-05T21:14:51Z</dcterms:created>
  <dcterms:modified xsi:type="dcterms:W3CDTF">2026-08-06T14:18:26Z</dcterms:modified>
</cp:coreProperties>
</file>